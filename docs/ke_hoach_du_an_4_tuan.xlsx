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 hoach 4 tuan" sheetId="1" state="visible" r:id="rId3"/>
  </sheets>
  <definedNames>
    <definedName function="false" hidden="true" localSheetId="0" name="_xlnm._FilterDatabase" vbProcedure="false">'Ke hoach 4 tuan'!$A$1:$G$31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<sst xmlns="http://schemas.openxmlformats.org/spreadsheetml/2006/main" count="166" uniqueCount="82">
  <si>
    <t xml:space="preserve">STT</t>
  </si>
  <si>
    <t xml:space="preserve">Công việc</t>
  </si>
  <si>
    <t xml:space="preserve">Người chịu trách nhiệm chính</t>
  </si>
  <si>
    <t xml:space="preserve">Ước lượng thời gian</t>
  </si>
  <si>
    <t xml:space="preserve">Deadline</t>
  </si>
  <si>
    <t xml:space="preserve">Trạng thái</t>
  </si>
  <si>
    <t xml:space="preserve">Tỉ lệ/Mức độ hoàn thành</t>
  </si>
  <si>
    <t xml:space="preserve">1</t>
  </si>
  <si>
    <t xml:space="preserve">TUẦN 1 - Nền tảng: phân tích, ERD, auth, RBAC</t>
  </si>
  <si>
    <t xml:space="preserve">Liễu</t>
  </si>
  <si>
    <t xml:space="preserve">Cuối tuần 1</t>
  </si>
  <si>
    <t xml:space="preserve">Chưa bắt đầu</t>
  </si>
  <si>
    <t xml:space="preserve">1.1</t>
  </si>
  <si>
    <t xml:space="preserve">Viết SRS rút gọn + xác định permission theo hành động</t>
  </si>
  <si>
    <t xml:space="preserve">1.2</t>
  </si>
  <si>
    <t xml:space="preserve">Thiết kế ERD (users, transactions, categories, budgets, audit_logs)</t>
  </si>
  <si>
    <t xml:space="preserve">1.3</t>
  </si>
  <si>
    <t xml:space="preserve">Setup Next.js + MySQL + Docker (docker-compose)</t>
  </si>
  <si>
    <t xml:space="preserve">1.4</t>
  </si>
  <si>
    <t xml:space="preserve">Đăng ký/đăng nhập JWT + đặt lại mật khẩu</t>
  </si>
  <si>
    <t xml:space="preserve">1.5</t>
  </si>
  <si>
    <t xml:space="preserve">RBAC cơ bản: bảng roles/permissions, check theo hành động</t>
  </si>
  <si>
    <t xml:space="preserve">1.6</t>
  </si>
  <si>
    <t xml:space="preserve">Setup CI đơn giản (GitHub Actions chạy test khi push)</t>
  </si>
  <si>
    <t xml:space="preserve">2</t>
  </si>
  <si>
    <t xml:space="preserve">TUẦN 2 - Giao dịch, Category, Budget &amp; bảo mật cơ bản</t>
  </si>
  <si>
    <t xml:space="preserve">Cuối tuần 2</t>
  </si>
  <si>
    <t xml:space="preserve">2.1</t>
  </si>
  <si>
    <t xml:space="preserve">CRUD Category</t>
  </si>
  <si>
    <t xml:space="preserve">2.2</t>
  </si>
  <si>
    <t xml:space="preserve">CRUD Giao dịch: tìm kiếm, lọc, sắp xếp, phân trang</t>
  </si>
  <si>
    <t xml:space="preserve">2.3</t>
  </si>
  <si>
    <t xml:space="preserve">Soft-delete cho transaction/category (cột deleted_at)</t>
  </si>
  <si>
    <t xml:space="preserve">2.4</t>
  </si>
  <si>
    <t xml:space="preserve">Budget theo category + tính % + cảnh báo vượt ngân sách</t>
  </si>
  <si>
    <t xml:space="preserve">2.5</t>
  </si>
  <si>
    <t xml:space="preserve">Audit log cơ bản (bảng log hành động: ai, làm gì, lúc nào)</t>
  </si>
  <si>
    <t xml:space="preserve">2.6</t>
  </si>
  <si>
    <t xml:space="preserve">Bảo mật: rate limit, CORS, chống XSS/CSRF cơ bản</t>
  </si>
  <si>
    <t xml:space="preserve">3</t>
  </si>
  <si>
    <t xml:space="preserve">TUẦN 3 - Dashboard, báo cáo, export/import, thông báo</t>
  </si>
  <si>
    <t xml:space="preserve">Cuối tuần 3</t>
  </si>
  <si>
    <t xml:space="preserve">3.1</t>
  </si>
  <si>
    <t xml:space="preserve">Dashboard tổng quan + biểu đồ (Recharts)</t>
  </si>
  <si>
    <t xml:space="preserve">3.2</t>
  </si>
  <si>
    <t xml:space="preserve">Export báo cáo CSV/PDF</t>
  </si>
  <si>
    <t xml:space="preserve">3.3</t>
  </si>
  <si>
    <t xml:space="preserve">Import dữ liệu từ CSV (cơ bản)</t>
  </si>
  <si>
    <t xml:space="preserve">3.4</t>
  </si>
  <si>
    <t xml:space="preserve">Thông báo Reminder qua email/in-app (không dùng job queue riêng)</t>
  </si>
  <si>
    <t xml:space="preserve">3.5</t>
  </si>
  <si>
    <t xml:space="preserve">Seed script sinh &gt;= 2000 bản ghi dữ liệu mẫu</t>
  </si>
  <si>
    <t xml:space="preserve">3.6</t>
  </si>
  <si>
    <t xml:space="preserve">Trang Admin: quản lý user, category mặc định, thống kê hệ thống</t>
  </si>
  <si>
    <t xml:space="preserve">4</t>
  </si>
  <si>
    <t xml:space="preserve">TUẦN 4 - Test, tài liệu, đóng gói &amp; demo</t>
  </si>
  <si>
    <t xml:space="preserve">Cuối tuần 4</t>
  </si>
  <si>
    <t xml:space="preserve">4.1</t>
  </si>
  <si>
    <t xml:space="preserve">Unit test + integration test (coverage khả thi nhất có thể)</t>
  </si>
  <si>
    <t xml:space="preserve">4.2</t>
  </si>
  <si>
    <t xml:space="preserve">OpenAPI/Swagger + Postman collection (tối giản)</t>
  </si>
  <si>
    <t xml:space="preserve">4.3</t>
  </si>
  <si>
    <t xml:space="preserve">Structured logging + health check endpoint</t>
  </si>
  <si>
    <t xml:space="preserve">4.4</t>
  </si>
  <si>
    <t xml:space="preserve">Hoàn thiện Docker + hướng dẫn triển khai</t>
  </si>
  <si>
    <t xml:space="preserve">4.5</t>
  </si>
  <si>
    <t xml:space="preserve">Hoàn thiện SRS, ERD, use case cho báo cáo</t>
  </si>
  <si>
    <t xml:space="preserve">4.6</t>
  </si>
  <si>
    <t xml:space="preserve">Hướng dẫn cài đặt + hướng dẫn sử dụng</t>
  </si>
  <si>
    <t xml:space="preserve">4.7</t>
  </si>
  <si>
    <t xml:space="preserve">Quay video demo (5-10 phút)</t>
  </si>
  <si>
    <t xml:space="preserve">4.8</t>
  </si>
  <si>
    <t xml:space="preserve">Sửa lỗi, tối ưu cuối cùng</t>
  </si>
  <si>
    <t xml:space="preserve">TỔNG CỘNG DỰ ÁN (4 TUẦN)</t>
  </si>
  <si>
    <t xml:space="preserve">ĐÃ CẮT / RÚT GỌN</t>
  </si>
  <si>
    <t xml:space="preserve">- OAuth2 (đăng nhập Google/Facebook) - không làm, chỉ dùng JWT thường</t>
  </si>
  <si>
    <t xml:space="preserve">- Xác thực 2 bước (2FA) - bỏ vì đề bài ghi tuỳ chọn</t>
  </si>
  <si>
    <t xml:space="preserve">- Hàng đợi job (BullMQ/Redis) - thay bằng gửi email/thông báo đồng bộ, đơn giản</t>
  </si>
  <si>
    <t xml:space="preserve">- Cache Redis cho danh mục/báo cáo - không làm trong 4 tuần</t>
  </si>
  <si>
    <t xml:space="preserve">- Versioning đầy đủ cho bản ghi nhạy cảm - chỉ giữ audit log cơ bản, không có rollback lịch sử</t>
  </si>
  <si>
    <t xml:space="preserve">- RBAC nâng cao (giao diện quản lý permission động) - chỉ có bảng roles/permissions cố định trong code</t>
  </si>
  <si>
    <t xml:space="preserve">Ghi chú: các mục bị cắt nên được ghi rõ vào phần "Hạn chế &amp; hướng phát triển" của báo cáo thay vì bỏ qua âm thầm - giám khảo thường đánh giá cao sự trung thực về phạm vi hơn là một hệ thống thiếu sót không giải thích.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</si>
</sst>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#&quot;  ngày&quot;"/>
    <numFmt numFmtId="16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1F386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DCE6F1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CE4D6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2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7" min="6" style="0" width="16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s">
        <v>7</v>
      </c>
      <c r="B2" s="3" t="s">
        <v>8</v>
      </c>
      <c r="C2" s="2" t="s">
        <v>9</v>
      </c>
      <c r="D2" s="4" t="n">
        <f aca="false">SUM(D3:D8)</f>
        <v>6</v>
      </c>
      <c r="E2" s="2" t="s">
        <v>10</v>
      </c>
      <c r="F2" s="2" t="s">
        <v>11</v>
      </c>
      <c r="G2" s="5" t="n">
        <f aca="false">AVERAGE(G3:G8)</f>
        <v>0</v>
      </c>
    </row>
    <row r="3" customFormat="false" ht="15" hidden="false" customHeight="false" outlineLevel="0" collapsed="false">
      <c r="A3" s="6" t="s">
        <v>12</v>
      </c>
      <c r="B3" s="7" t="s">
        <v>13</v>
      </c>
      <c r="C3" s="6" t="s">
        <v>9</v>
      </c>
      <c r="D3" s="8" t="n">
        <v>1</v>
      </c>
      <c r="E3" s="6" t="s">
        <v>10</v>
      </c>
      <c r="F3" s="6" t="s">
        <v>11</v>
      </c>
      <c r="G3" s="9" t="n">
        <v>0</v>
      </c>
    </row>
    <row r="4" customFormat="false" ht="26.85" hidden="false" customHeight="false" outlineLevel="0" collapsed="false">
      <c r="A4" s="6" t="s">
        <v>14</v>
      </c>
      <c r="B4" s="7" t="s">
        <v>15</v>
      </c>
      <c r="C4" s="6" t="s">
        <v>9</v>
      </c>
      <c r="D4" s="8" t="n">
        <v>1</v>
      </c>
      <c r="E4" s="6" t="s">
        <v>10</v>
      </c>
      <c r="F4" s="6" t="s">
        <v>11</v>
      </c>
      <c r="G4" s="9" t="n">
        <v>0</v>
      </c>
    </row>
    <row r="5" customFormat="false" ht="15" hidden="false" customHeight="false" outlineLevel="0" collapsed="false">
      <c r="A5" s="6" t="s">
        <v>16</v>
      </c>
      <c r="B5" s="7" t="s">
        <v>17</v>
      </c>
      <c r="C5" s="6" t="s">
        <v>9</v>
      </c>
      <c r="D5" s="8" t="n">
        <v>1</v>
      </c>
      <c r="E5" s="6" t="s">
        <v>10</v>
      </c>
      <c r="F5" s="6" t="s">
        <v>11</v>
      </c>
      <c r="G5" s="9" t="n">
        <v>0</v>
      </c>
    </row>
    <row r="6" customFormat="false" ht="15" hidden="false" customHeight="false" outlineLevel="0" collapsed="false">
      <c r="A6" s="6" t="s">
        <v>18</v>
      </c>
      <c r="B6" s="7" t="s">
        <v>19</v>
      </c>
      <c r="C6" s="6" t="s">
        <v>9</v>
      </c>
      <c r="D6" s="8" t="n">
        <v>1.5</v>
      </c>
      <c r="E6" s="6" t="s">
        <v>10</v>
      </c>
      <c r="F6" s="6" t="s">
        <v>11</v>
      </c>
      <c r="G6" s="9" t="n">
        <v>0</v>
      </c>
    </row>
    <row r="7" customFormat="false" ht="15" hidden="false" customHeight="false" outlineLevel="0" collapsed="false">
      <c r="A7" s="6" t="s">
        <v>20</v>
      </c>
      <c r="B7" s="7" t="s">
        <v>21</v>
      </c>
      <c r="C7" s="6" t="s">
        <v>9</v>
      </c>
      <c r="D7" s="8" t="n">
        <v>1</v>
      </c>
      <c r="E7" s="6" t="s">
        <v>10</v>
      </c>
      <c r="F7" s="6" t="s">
        <v>11</v>
      </c>
      <c r="G7" s="9" t="n">
        <v>0</v>
      </c>
    </row>
    <row r="8" customFormat="false" ht="15" hidden="false" customHeight="false" outlineLevel="0" collapsed="false">
      <c r="A8" s="6" t="s">
        <v>22</v>
      </c>
      <c r="B8" s="7" t="s">
        <v>23</v>
      </c>
      <c r="C8" s="6" t="s">
        <v>9</v>
      </c>
      <c r="D8" s="8" t="n">
        <v>0.5</v>
      </c>
      <c r="E8" s="6" t="s">
        <v>10</v>
      </c>
      <c r="F8" s="6" t="s">
        <v>11</v>
      </c>
      <c r="G8" s="9" t="n">
        <v>0</v>
      </c>
    </row>
    <row r="9" customFormat="false" ht="15" hidden="false" customHeight="false" outlineLevel="0" collapsed="false">
      <c r="A9" s="2" t="s">
        <v>24</v>
      </c>
      <c r="B9" s="3" t="s">
        <v>25</v>
      </c>
      <c r="C9" s="2" t="s">
        <v>9</v>
      </c>
      <c r="D9" s="4" t="n">
        <f aca="false">SUM(D10:D15)</f>
        <v>5.5</v>
      </c>
      <c r="E9" s="2" t="s">
        <v>26</v>
      </c>
      <c r="F9" s="2" t="s">
        <v>11</v>
      </c>
      <c r="G9" s="5" t="n">
        <f aca="false">AVERAGE(G10:G15)</f>
        <v>0</v>
      </c>
    </row>
    <row r="10" customFormat="false" ht="15" hidden="false" customHeight="false" outlineLevel="0" collapsed="false">
      <c r="A10" s="6" t="s">
        <v>27</v>
      </c>
      <c r="B10" s="7" t="s">
        <v>28</v>
      </c>
      <c r="C10" s="6" t="s">
        <v>9</v>
      </c>
      <c r="D10" s="8" t="n">
        <v>0.5</v>
      </c>
      <c r="E10" s="6" t="s">
        <v>26</v>
      </c>
      <c r="F10" s="6" t="s">
        <v>11</v>
      </c>
      <c r="G10" s="9" t="n">
        <v>0</v>
      </c>
    </row>
    <row r="11" customFormat="false" ht="15" hidden="false" customHeight="false" outlineLevel="0" collapsed="false">
      <c r="A11" s="6" t="s">
        <v>29</v>
      </c>
      <c r="B11" s="7" t="s">
        <v>30</v>
      </c>
      <c r="C11" s="6" t="s">
        <v>9</v>
      </c>
      <c r="D11" s="8" t="n">
        <v>1.5</v>
      </c>
      <c r="E11" s="6" t="s">
        <v>26</v>
      </c>
      <c r="F11" s="6" t="s">
        <v>11</v>
      </c>
      <c r="G11" s="9" t="n">
        <v>0</v>
      </c>
    </row>
    <row r="12" customFormat="false" ht="15" hidden="false" customHeight="false" outlineLevel="0" collapsed="false">
      <c r="A12" s="6" t="s">
        <v>31</v>
      </c>
      <c r="B12" s="7" t="s">
        <v>32</v>
      </c>
      <c r="C12" s="6" t="s">
        <v>9</v>
      </c>
      <c r="D12" s="8" t="n">
        <v>0.5</v>
      </c>
      <c r="E12" s="6" t="s">
        <v>26</v>
      </c>
      <c r="F12" s="6" t="s">
        <v>11</v>
      </c>
      <c r="G12" s="9" t="n">
        <v>0</v>
      </c>
    </row>
    <row r="13" customFormat="false" ht="15" hidden="false" customHeight="false" outlineLevel="0" collapsed="false">
      <c r="A13" s="6" t="s">
        <v>33</v>
      </c>
      <c r="B13" s="7" t="s">
        <v>34</v>
      </c>
      <c r="C13" s="6" t="s">
        <v>9</v>
      </c>
      <c r="D13" s="8" t="n">
        <v>1</v>
      </c>
      <c r="E13" s="6" t="s">
        <v>26</v>
      </c>
      <c r="F13" s="6" t="s">
        <v>11</v>
      </c>
      <c r="G13" s="9" t="n">
        <v>0</v>
      </c>
    </row>
    <row r="14" customFormat="false" ht="15" hidden="false" customHeight="false" outlineLevel="0" collapsed="false">
      <c r="A14" s="6" t="s">
        <v>35</v>
      </c>
      <c r="B14" s="7" t="s">
        <v>36</v>
      </c>
      <c r="C14" s="6" t="s">
        <v>9</v>
      </c>
      <c r="D14" s="8" t="n">
        <v>1</v>
      </c>
      <c r="E14" s="6" t="s">
        <v>26</v>
      </c>
      <c r="F14" s="6" t="s">
        <v>11</v>
      </c>
      <c r="G14" s="9" t="n">
        <v>0</v>
      </c>
    </row>
    <row r="15" customFormat="false" ht="15" hidden="false" customHeight="false" outlineLevel="0" collapsed="false">
      <c r="A15" s="6" t="s">
        <v>37</v>
      </c>
      <c r="B15" s="7" t="s">
        <v>38</v>
      </c>
      <c r="C15" s="6" t="s">
        <v>9</v>
      </c>
      <c r="D15" s="8" t="n">
        <v>1</v>
      </c>
      <c r="E15" s="6" t="s">
        <v>26</v>
      </c>
      <c r="F15" s="6" t="s">
        <v>11</v>
      </c>
      <c r="G15" s="9" t="n">
        <v>0</v>
      </c>
    </row>
    <row r="16" customFormat="false" ht="15" hidden="false" customHeight="false" outlineLevel="0" collapsed="false">
      <c r="A16" s="2" t="s">
        <v>39</v>
      </c>
      <c r="B16" s="3" t="s">
        <v>40</v>
      </c>
      <c r="C16" s="2" t="s">
        <v>9</v>
      </c>
      <c r="D16" s="4" t="n">
        <f aca="false">SUM(D17:D22)</f>
        <v>5.5</v>
      </c>
      <c r="E16" s="2" t="s">
        <v>41</v>
      </c>
      <c r="F16" s="2" t="s">
        <v>11</v>
      </c>
      <c r="G16" s="5" t="n">
        <f aca="false">AVERAGE(G17:G22)</f>
        <v>0</v>
      </c>
    </row>
    <row r="17" customFormat="false" ht="15" hidden="false" customHeight="false" outlineLevel="0" collapsed="false">
      <c r="A17" s="6" t="s">
        <v>42</v>
      </c>
      <c r="B17" s="7" t="s">
        <v>43</v>
      </c>
      <c r="C17" s="6" t="s">
        <v>9</v>
      </c>
      <c r="D17" s="8" t="n">
        <v>1</v>
      </c>
      <c r="E17" s="6" t="s">
        <v>41</v>
      </c>
      <c r="F17" s="6" t="s">
        <v>11</v>
      </c>
      <c r="G17" s="9" t="n">
        <v>0</v>
      </c>
    </row>
    <row r="18" customFormat="false" ht="15" hidden="false" customHeight="false" outlineLevel="0" collapsed="false">
      <c r="A18" s="6" t="s">
        <v>44</v>
      </c>
      <c r="B18" s="7" t="s">
        <v>45</v>
      </c>
      <c r="C18" s="6" t="s">
        <v>9</v>
      </c>
      <c r="D18" s="8" t="n">
        <v>1</v>
      </c>
      <c r="E18" s="6" t="s">
        <v>41</v>
      </c>
      <c r="F18" s="6" t="s">
        <v>11</v>
      </c>
      <c r="G18" s="9" t="n">
        <v>0</v>
      </c>
    </row>
    <row r="19" customFormat="false" ht="15" hidden="false" customHeight="false" outlineLevel="0" collapsed="false">
      <c r="A19" s="6" t="s">
        <v>46</v>
      </c>
      <c r="B19" s="7" t="s">
        <v>47</v>
      </c>
      <c r="C19" s="6" t="s">
        <v>9</v>
      </c>
      <c r="D19" s="8" t="n">
        <v>0.5</v>
      </c>
      <c r="E19" s="6" t="s">
        <v>41</v>
      </c>
      <c r="F19" s="6" t="s">
        <v>11</v>
      </c>
      <c r="G19" s="9" t="n">
        <v>0</v>
      </c>
    </row>
    <row r="20" customFormat="false" ht="26.85" hidden="false" customHeight="false" outlineLevel="0" collapsed="false">
      <c r="A20" s="6" t="s">
        <v>48</v>
      </c>
      <c r="B20" s="7" t="s">
        <v>49</v>
      </c>
      <c r="C20" s="6" t="s">
        <v>9</v>
      </c>
      <c r="D20" s="8" t="n">
        <v>1</v>
      </c>
      <c r="E20" s="6" t="s">
        <v>41</v>
      </c>
      <c r="F20" s="6" t="s">
        <v>11</v>
      </c>
      <c r="G20" s="9" t="n">
        <v>0</v>
      </c>
    </row>
    <row r="21" customFormat="false" ht="15" hidden="false" customHeight="false" outlineLevel="0" collapsed="false">
      <c r="A21" s="6" t="s">
        <v>50</v>
      </c>
      <c r="B21" s="7" t="s">
        <v>51</v>
      </c>
      <c r="C21" s="6" t="s">
        <v>9</v>
      </c>
      <c r="D21" s="8" t="n">
        <v>0.5</v>
      </c>
      <c r="E21" s="6" t="s">
        <v>41</v>
      </c>
      <c r="F21" s="6" t="s">
        <v>11</v>
      </c>
      <c r="G21" s="9" t="n">
        <v>0</v>
      </c>
    </row>
    <row r="22" customFormat="false" ht="15" hidden="false" customHeight="false" outlineLevel="0" collapsed="false">
      <c r="A22" s="6" t="s">
        <v>52</v>
      </c>
      <c r="B22" s="7" t="s">
        <v>53</v>
      </c>
      <c r="C22" s="6" t="s">
        <v>9</v>
      </c>
      <c r="D22" s="8" t="n">
        <v>1.5</v>
      </c>
      <c r="E22" s="6" t="s">
        <v>41</v>
      </c>
      <c r="F22" s="6" t="s">
        <v>11</v>
      </c>
      <c r="G22" s="9" t="n">
        <v>0</v>
      </c>
    </row>
    <row r="23" customFormat="false" ht="15" hidden="false" customHeight="false" outlineLevel="0" collapsed="false">
      <c r="A23" s="2" t="s">
        <v>54</v>
      </c>
      <c r="B23" s="3" t="s">
        <v>55</v>
      </c>
      <c r="C23" s="2" t="s">
        <v>9</v>
      </c>
      <c r="D23" s="4" t="n">
        <f aca="false">SUM(D24:D31)</f>
        <v>6.5</v>
      </c>
      <c r="E23" s="2" t="s">
        <v>56</v>
      </c>
      <c r="F23" s="2" t="s">
        <v>11</v>
      </c>
      <c r="G23" s="5" t="n">
        <f aca="false">AVERAGE(G24:G31)</f>
        <v>0</v>
      </c>
    </row>
    <row r="24" customFormat="false" ht="15" hidden="false" customHeight="false" outlineLevel="0" collapsed="false">
      <c r="A24" s="6" t="s">
        <v>57</v>
      </c>
      <c r="B24" s="7" t="s">
        <v>58</v>
      </c>
      <c r="C24" s="6" t="s">
        <v>9</v>
      </c>
      <c r="D24" s="8" t="n">
        <v>1.5</v>
      </c>
      <c r="E24" s="6" t="s">
        <v>56</v>
      </c>
      <c r="F24" s="6" t="s">
        <v>11</v>
      </c>
      <c r="G24" s="9" t="n">
        <v>0</v>
      </c>
    </row>
    <row r="25" customFormat="false" ht="15" hidden="false" customHeight="false" outlineLevel="0" collapsed="false">
      <c r="A25" s="6" t="s">
        <v>59</v>
      </c>
      <c r="B25" s="7" t="s">
        <v>60</v>
      </c>
      <c r="C25" s="6" t="s">
        <v>9</v>
      </c>
      <c r="D25" s="8" t="n">
        <v>1</v>
      </c>
      <c r="E25" s="6" t="s">
        <v>56</v>
      </c>
      <c r="F25" s="6" t="s">
        <v>11</v>
      </c>
      <c r="G25" s="9" t="n">
        <v>0</v>
      </c>
    </row>
    <row r="26" customFormat="false" ht="15" hidden="false" customHeight="false" outlineLevel="0" collapsed="false">
      <c r="A26" s="6" t="s">
        <v>61</v>
      </c>
      <c r="B26" s="7" t="s">
        <v>62</v>
      </c>
      <c r="C26" s="6" t="s">
        <v>9</v>
      </c>
      <c r="D26" s="8" t="n">
        <v>0.5</v>
      </c>
      <c r="E26" s="6" t="s">
        <v>56</v>
      </c>
      <c r="F26" s="6" t="s">
        <v>11</v>
      </c>
      <c r="G26" s="9" t="n">
        <v>0</v>
      </c>
    </row>
    <row r="27" customFormat="false" ht="15" hidden="false" customHeight="false" outlineLevel="0" collapsed="false">
      <c r="A27" s="6" t="s">
        <v>63</v>
      </c>
      <c r="B27" s="7" t="s">
        <v>64</v>
      </c>
      <c r="C27" s="6" t="s">
        <v>9</v>
      </c>
      <c r="D27" s="8" t="n">
        <v>0.5</v>
      </c>
      <c r="E27" s="6" t="s">
        <v>56</v>
      </c>
      <c r="F27" s="6" t="s">
        <v>11</v>
      </c>
      <c r="G27" s="9" t="n">
        <v>0</v>
      </c>
    </row>
    <row r="28" customFormat="false" ht="15" hidden="false" customHeight="false" outlineLevel="0" collapsed="false">
      <c r="A28" s="6" t="s">
        <v>65</v>
      </c>
      <c r="B28" s="7" t="s">
        <v>66</v>
      </c>
      <c r="C28" s="6" t="s">
        <v>9</v>
      </c>
      <c r="D28" s="8" t="n">
        <v>1</v>
      </c>
      <c r="E28" s="6" t="s">
        <v>56</v>
      </c>
      <c r="F28" s="6" t="s">
        <v>11</v>
      </c>
      <c r="G28" s="9" t="n">
        <v>0</v>
      </c>
    </row>
    <row r="29" customFormat="false" ht="15" hidden="false" customHeight="false" outlineLevel="0" collapsed="false">
      <c r="A29" s="6" t="s">
        <v>67</v>
      </c>
      <c r="B29" s="7" t="s">
        <v>68</v>
      </c>
      <c r="C29" s="6" t="s">
        <v>9</v>
      </c>
      <c r="D29" s="8" t="n">
        <v>0.5</v>
      </c>
      <c r="E29" s="6" t="s">
        <v>56</v>
      </c>
      <c r="F29" s="6" t="s">
        <v>11</v>
      </c>
      <c r="G29" s="9" t="n">
        <v>0</v>
      </c>
    </row>
    <row r="30" customFormat="false" ht="15" hidden="false" customHeight="false" outlineLevel="0" collapsed="false">
      <c r="A30" s="6" t="s">
        <v>69</v>
      </c>
      <c r="B30" s="7" t="s">
        <v>70</v>
      </c>
      <c r="C30" s="6" t="s">
        <v>9</v>
      </c>
      <c r="D30" s="8" t="n">
        <v>0.5</v>
      </c>
      <c r="E30" s="6" t="s">
        <v>56</v>
      </c>
      <c r="F30" s="6" t="s">
        <v>11</v>
      </c>
      <c r="G30" s="9" t="n">
        <v>0</v>
      </c>
    </row>
    <row r="31" customFormat="false" ht="15" hidden="false" customHeight="false" outlineLevel="0" collapsed="false">
      <c r="A31" s="6" t="s">
        <v>71</v>
      </c>
      <c r="B31" s="7" t="s">
        <v>72</v>
      </c>
      <c r="C31" s="6" t="s">
        <v>9</v>
      </c>
      <c r="D31" s="8" t="n">
        <v>1</v>
      </c>
      <c r="E31" s="6" t="s">
        <v>56</v>
      </c>
      <c r="F31" s="6" t="s">
        <v>11</v>
      </c>
      <c r="G31" s="9" t="n">
        <v>0</v>
      </c>
    </row>
    <row r="32" customFormat="false" ht="15" hidden="false" customHeight="false" outlineLevel="0" collapsed="false">
      <c r="A32" s="10"/>
      <c r="B32" s="11" t="s">
        <v>73</v>
      </c>
      <c r="C32" s="10"/>
      <c r="D32" s="12" t="n">
        <f aca="false">D2+D9+D16+D23</f>
        <v>23.5</v>
      </c>
      <c r="E32" s="10"/>
      <c r="F32" s="10"/>
      <c r="G32" s="13" t="n">
        <f aca="false">AVERAGE(G2,G9,G16,G23)</f>
        <v>0</v>
      </c>
    </row>
    <row r="34" customFormat="false" ht="21.75" hidden="false" customHeight="true" outlineLevel="0" collapsed="false">
      <c r="A34" s="14" t="s">
        <v>74</v>
      </c>
      <c r="B34" s="14"/>
      <c r="C34" s="14"/>
      <c r="D34" s="14"/>
      <c r="E34" s="14"/>
      <c r="F34" s="14"/>
      <c r="G34" s="14"/>
    </row>
    <row r="35" customFormat="false" ht="15" hidden="false" customHeight="true" outlineLevel="0" collapsed="false">
      <c r="B35" s="15" t="s">
        <v>75</v>
      </c>
      <c r="C35" s="15"/>
      <c r="D35" s="15"/>
      <c r="E35" s="15"/>
      <c r="F35" s="15"/>
      <c r="G35" s="15"/>
    </row>
    <row r="36" customFormat="false" ht="15" hidden="false" customHeight="true" outlineLevel="0" collapsed="false">
      <c r="B36" s="15" t="s">
        <v>76</v>
      </c>
      <c r="C36" s="15"/>
      <c r="D36" s="15"/>
      <c r="E36" s="15"/>
      <c r="F36" s="15"/>
      <c r="G36" s="15"/>
    </row>
    <row r="37" customFormat="false" ht="15" hidden="false" customHeight="true" outlineLevel="0" collapsed="false">
      <c r="B37" s="15" t="s">
        <v>77</v>
      </c>
      <c r="C37" s="15"/>
      <c r="D37" s="15"/>
      <c r="E37" s="15"/>
      <c r="F37" s="15"/>
      <c r="G37" s="15"/>
    </row>
    <row r="38" customFormat="false" ht="15" hidden="false" customHeight="true" outlineLevel="0" collapsed="false">
      <c r="B38" s="15" t="s">
        <v>78</v>
      </c>
      <c r="C38" s="15"/>
      <c r="D38" s="15"/>
      <c r="E38" s="15"/>
      <c r="F38" s="15"/>
      <c r="G38" s="15"/>
    </row>
    <row r="39" customFormat="false" ht="15" hidden="false" customHeight="true" outlineLevel="0" collapsed="false">
      <c r="B39" s="15" t="s">
        <v>79</v>
      </c>
      <c r="C39" s="15"/>
      <c r="D39" s="15"/>
      <c r="E39" s="15"/>
      <c r="F39" s="15"/>
      <c r="G39" s="15"/>
    </row>
    <row r="40" customFormat="false" ht="15" hidden="false" customHeight="true" outlineLevel="0" collapsed="false">
      <c r="B40" s="15" t="s">
        <v>80</v>
      </c>
      <c r="C40" s="15"/>
      <c r="D40" s="15"/>
      <c r="E40" s="15"/>
      <c r="F40" s="15"/>
      <c r="G40" s="15"/>
    </row>
    <row r="42" customFormat="false" ht="39.75" hidden="false" customHeight="true" outlineLevel="0" collapsed="false">
      <c r="A42" s="16" t="s">
        <v>81</v>
      </c>
      <c r="B42" s="16"/>
      <c r="C42" s="16"/>
      <c r="D42" s="16"/>
      <c r="E42" s="16"/>
      <c r="F42" s="16"/>
      <c r="G42" s="16"/>
    </row>
  </sheetData>
  <autoFilter ref="A1:G31"/>
  <mergeCells count="8">
    <mergeCell ref="A34:G34"/>
    <mergeCell ref="B35:G35"/>
    <mergeCell ref="B36:G36"/>
    <mergeCell ref="B37:G37"/>
    <mergeCell ref="B38:G38"/>
    <mergeCell ref="B39:G39"/>
    <mergeCell ref="B40:G40"/>
    <mergeCell ref="A42:G42"/>
  </mergeCells>
  <dataValidations count="1">
    <dataValidation allowBlank="true" errorStyle="stop" operator="between" showDropDown="false" showErrorMessage="false" showInputMessage="false" sqref="F2:F31" type="list">
      <formula1>"Chưa bắt đầu,Đang thực hiện,Hoàn thành,Trễ hạn"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2026-09-13T10:07:00Z</dcterms:created>
  <dc:creator>openpyxl</dc:creator>
  <dc:description/>
  <dc:language>en-US</dc:language>
  <cp:lastModifiedBy/>
  <dcterms:modified xsi:type="dcterms:W3CDTF">2026-09-13T10:07:00Z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